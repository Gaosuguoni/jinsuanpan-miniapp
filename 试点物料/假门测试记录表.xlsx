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a41df741b146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假门测试记录" sheetId="1" r:id="R5a39cd6042a04d0b"/>
    <x:sheet xmlns:r="http://schemas.openxmlformats.org/officeDocument/2006/relationships" name="操作手册" sheetId="2" r:id="R52a366d2e71647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10">
    <x:font>
      <x:sz val="11"/>
      <x:name val="Carlito"/>
    </x:font>
    <x:font>
      <x:b/>
      <x:sz val="15"/>
      <x:color rgb="FFFFFFFF"/>
      <x:name val="Microsoft YaHei"/>
    </x:font>
    <x:font>
      <x:sz val="10"/>
      <x:color rgb="FF6B7671"/>
      <x:name val="Microsoft YaHei"/>
    </x:font>
    <x:font>
      <x:b/>
      <x:sz val="10"/>
      <x:color rgb="FFFFFFFF"/>
      <x:name val="Microsoft YaHei"/>
    </x:font>
    <x:font>
      <x:sz val="10"/>
      <x:color rgb="FF232B27"/>
      <x:name val="Microsoft YaHei"/>
    </x:font>
    <x:font>
      <x:b/>
      <x:sz val="12"/>
      <x:color rgb="FF1F6F43"/>
      <x:name val="Microsoft YaHei"/>
    </x:font>
    <x:font>
      <x:b/>
      <x:sz val="10"/>
      <x:color rgb="FF232B27"/>
      <x:name val="Microsoft YaHei"/>
    </x:font>
    <x:font>
      <x:b/>
      <x:sz val="14"/>
      <x:color rgb="FFFFFFFF"/>
      <x:name val="Microsoft YaHei"/>
    </x:font>
    <x:font>
      <x:b/>
      <x:sz val="11"/>
      <x:color rgb="FF232B27"/>
      <x:name val="Microsoft YaHei"/>
    </x:font>
    <x:font>
      <x:sz val="10"/>
      <x:color rgb="FFB45309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F6F43"/>
      </x:patternFill>
    </x:fill>
    <x:fill>
      <x:patternFill patternType="solid">
        <x:fgColor rgb="FFEEF7F1"/>
      </x:patternFill>
    </x:fill>
  </x:fills>
  <x:borders count="2">
    <x:border/>
    <x:border>
      <x:left style="thin">
        <x:color rgb="FFD9E2DC"/>
      </x:left>
      <x:right style="thin">
        <x:color rgb="FFD9E2DC"/>
      </x:right>
      <x:top style="thin">
        <x:color rgb="FFD9E2DC"/>
      </x:top>
      <x:bottom style="thin">
        <x:color rgb="FFD9E2DC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201" fontId="6" fillId="3" borderId="0" xfId="0" applyNumberFormat="1" applyFont="1" applyFill="1" applyBorder="1" applyAlignment="1">
      <x:alignment horizontal="center" vertical="center" wrapText="1"/>
    </x:xf>
    <x:xf numFmtId="200" fontId="6" fillId="3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5079891a9b4ee6" /><Relationship Type="http://schemas.openxmlformats.org/officeDocument/2006/relationships/theme" Target="/xl/theme/theme1.xml" Id="R440317127fd24e63" /><Relationship Type="http://schemas.openxmlformats.org/officeDocument/2006/relationships/sharedStrings" Target="/xl/sharedStrings.xml" Id="Rf510ab0b4e354158" /><Relationship Type="http://schemas.openxmlformats.org/officeDocument/2006/relationships/worksheet" Target="/xl/worksheets/sheet1.xml" Id="R5a39cd6042a04d0b" /><Relationship Type="http://schemas.openxmlformats.org/officeDocument/2006/relationships/worksheet" Target="/xl/worksheets/sheet2.xml" Id="R52a366d2e71647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7.87999725341797" hidden="0" customWidth="1"/>
    <x:col min="2" max="2" width="3.880000114440918" hidden="0" customWidth="1"/>
    <x:col min="3" max="3" width="15.630000114440918" hidden="0" customWidth="1"/>
    <x:col min="4" max="4" width="10.630000114440918" hidden="0" customWidth="1"/>
    <x:col min="5" max="5" width="12.25" hidden="0" customWidth="1"/>
    <x:col min="6" max="6" width="15.630000114440918" hidden="0" customWidth="1"/>
    <x:col min="7" max="7" width="22.1299991607666" hidden="0" customWidth="1"/>
    <x:col min="8" max="8" width="10.630000114440918" hidden="0" customWidth="1"/>
    <x:col min="9" max="9" width="13.880000114440918" hidden="0" customWidth="1"/>
    <x:col min="10" max="10" width="7.25" hidden="0" customWidth="1"/>
    <x:col min="11" max="11" width="10.630000114440918" hidden="0" customWidth="1"/>
    <x:col min="12" max="12" width="12.25" hidden="0" customWidth="1"/>
    <x:col min="13" max="13" width="3.880000114440918" hidden="0" customWidth="1"/>
  </x:cols>
  <x:sheetData>
    <x:row r="1" ht="18" hidden="0" customHeight="1">
      <x:c r="A1" s="4" t="str">
        <x:v>金算盘记账工具 - 假门测试记录表（3 户 x 3 天）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15" hidden="0" customHeight="1">
      <x:c r="A2" s="7" t="str">
        <x:v>人肉记账员每天：收到语音 → 长按转文字 → 复制进小程序记账 → 回“记好了” → 晚上发日结截图。测的是“他发不发”，不是“帮他记全”。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/>
    <x:row r="4" ht="15" hidden="0" customHeight="1">
      <x:c r="A4" s="11" t="str">
        <x:v>日期</x:v>
      </x:c>
      <x:c r="B4" s="11" t="str">
        <x:v>户号</x:v>
      </x:c>
      <x:c r="C4" s="11" t="str">
        <x:v>老板/摊位</x:v>
      </x:c>
      <x:c r="D4" s="11" t="str">
        <x:v>今天发了几条</x:v>
      </x:c>
      <x:c r="E4" s="11" t="str">
        <x:v>首次发送时间</x:v>
      </x:c>
      <x:c r="F4" s="11" t="str">
        <x:v>集中在忙时还是闲时</x:v>
      </x:c>
      <x:c r="G4" s="11" t="str">
        <x:v>语音内容样本（1-2 条原话）</x:v>
      </x:c>
      <x:c r="H4" s="11" t="str">
        <x:v>帮他记了几笔</x:v>
      </x:c>
      <x:c r="I4" s="11" t="str">
        <x:v>估计实际做了几笔</x:v>
      </x:c>
      <x:c r="J4" s="11" t="str">
        <x:v>估计漏记</x:v>
      </x:c>
      <x:c r="K4" s="11" t="str">
        <x:v>老板原话反馈</x:v>
      </x:c>
      <x:c r="L4" s="11" t="str">
        <x:v>晚上看日结了吗</x:v>
      </x:c>
      <x:c r="M4" s="11" t="str">
        <x:v>备注</x:v>
      </x:c>
    </x:row>
    <x:row r="5" ht="15" hidden="0" customHeight="1">
      <x:c r="A5" s="16" t="str">
        <x:v>D1</x:v>
      </x:c>
      <x:c r="B5" s="16" t="str">
        <x:v>户1</x:v>
      </x:c>
      <x:c r="C5" s="15"/>
      <x:c r="D5" s="17"/>
      <x:c r="E5" s="15"/>
      <x:c r="F5" s="15"/>
      <x:c r="G5" s="15"/>
      <x:c r="H5" s="17"/>
      <x:c r="I5" s="17"/>
      <x:c r="J5" s="17"/>
      <x:c r="K5" s="15"/>
      <x:c r="L5" s="15"/>
      <x:c r="M5" s="15"/>
    </x:row>
    <x:row r="6" ht="15" hidden="0" customHeight="1">
      <x:c r="A6" s="16" t="str">
        <x:v>D2</x:v>
      </x:c>
      <x:c r="B6" s="16" t="str">
        <x:v>户1</x:v>
      </x:c>
      <x:c r="C6" s="15"/>
      <x:c r="D6" s="17"/>
      <x:c r="E6" s="15"/>
      <x:c r="F6" s="15"/>
      <x:c r="G6" s="15"/>
      <x:c r="H6" s="17"/>
      <x:c r="I6" s="17"/>
      <x:c r="J6" s="17"/>
      <x:c r="K6" s="15"/>
      <x:c r="L6" s="15"/>
      <x:c r="M6" s="15"/>
    </x:row>
    <x:row r="7" ht="15" hidden="0" customHeight="1">
      <x:c r="A7" s="16" t="str">
        <x:v>D3</x:v>
      </x:c>
      <x:c r="B7" s="16" t="str">
        <x:v>户1</x:v>
      </x:c>
      <x:c r="C7" s="15"/>
      <x:c r="D7" s="17"/>
      <x:c r="E7" s="15"/>
      <x:c r="F7" s="15"/>
      <x:c r="G7" s="15"/>
      <x:c r="H7" s="17"/>
      <x:c r="I7" s="17"/>
      <x:c r="J7" s="17"/>
      <x:c r="K7" s="15"/>
      <x:c r="L7" s="15"/>
      <x:c r="M7" s="15"/>
    </x:row>
    <x:row r="8" ht="15" hidden="0" customHeight="1">
      <x:c r="A8" s="16" t="str">
        <x:v>D1</x:v>
      </x:c>
      <x:c r="B8" s="16" t="str">
        <x:v>户2</x:v>
      </x:c>
      <x:c r="C8" s="15"/>
      <x:c r="D8" s="17"/>
      <x:c r="E8" s="15"/>
      <x:c r="F8" s="15"/>
      <x:c r="G8" s="15"/>
      <x:c r="H8" s="17"/>
      <x:c r="I8" s="17"/>
      <x:c r="J8" s="17"/>
      <x:c r="K8" s="15"/>
      <x:c r="L8" s="15"/>
      <x:c r="M8" s="15"/>
    </x:row>
    <x:row r="9" ht="15" hidden="0" customHeight="1">
      <x:c r="A9" s="16" t="str">
        <x:v>D2</x:v>
      </x:c>
      <x:c r="B9" s="16" t="str">
        <x:v>户2</x:v>
      </x:c>
      <x:c r="C9" s="15"/>
      <x:c r="D9" s="17"/>
      <x:c r="E9" s="15"/>
      <x:c r="F9" s="15"/>
      <x:c r="G9" s="15"/>
      <x:c r="H9" s="17"/>
      <x:c r="I9" s="17"/>
      <x:c r="J9" s="17"/>
      <x:c r="K9" s="15"/>
      <x:c r="L9" s="15"/>
      <x:c r="M9" s="15"/>
    </x:row>
    <x:row r="10" ht="15" hidden="0" customHeight="1">
      <x:c r="A10" s="16" t="str">
        <x:v>D3</x:v>
      </x:c>
      <x:c r="B10" s="16" t="str">
        <x:v>户2</x:v>
      </x:c>
      <x:c r="C10" s="15"/>
      <x:c r="D10" s="17"/>
      <x:c r="E10" s="15"/>
      <x:c r="F10" s="15"/>
      <x:c r="G10" s="15"/>
      <x:c r="H10" s="17"/>
      <x:c r="I10" s="17"/>
      <x:c r="J10" s="17"/>
      <x:c r="K10" s="15"/>
      <x:c r="L10" s="15"/>
      <x:c r="M10" s="15"/>
    </x:row>
    <x:row r="11" ht="15" hidden="0" customHeight="1">
      <x:c r="A11" s="16" t="str">
        <x:v>D1</x:v>
      </x:c>
      <x:c r="B11" s="16" t="str">
        <x:v>户3</x:v>
      </x:c>
      <x:c r="C11" s="15"/>
      <x:c r="D11" s="17"/>
      <x:c r="E11" s="15"/>
      <x:c r="F11" s="15"/>
      <x:c r="G11" s="15"/>
      <x:c r="H11" s="17"/>
      <x:c r="I11" s="17"/>
      <x:c r="J11" s="17"/>
      <x:c r="K11" s="15"/>
      <x:c r="L11" s="15"/>
      <x:c r="M11" s="15"/>
    </x:row>
    <x:row r="12" ht="15" hidden="0" customHeight="1">
      <x:c r="A12" s="16" t="str">
        <x:v>D2</x:v>
      </x:c>
      <x:c r="B12" s="16" t="str">
        <x:v>户3</x:v>
      </x:c>
      <x:c r="C12" s="15"/>
      <x:c r="D12" s="17"/>
      <x:c r="E12" s="15"/>
      <x:c r="F12" s="15"/>
      <x:c r="G12" s="15"/>
      <x:c r="H12" s="17"/>
      <x:c r="I12" s="17"/>
      <x:c r="J12" s="17"/>
      <x:c r="K12" s="15"/>
      <x:c r="L12" s="15"/>
      <x:c r="M12" s="15"/>
    </x:row>
    <x:row r="13" ht="15" hidden="0" customHeight="1">
      <x:c r="A13" s="16" t="str">
        <x:v>D3</x:v>
      </x:c>
      <x:c r="B13" s="16" t="str">
        <x:v>户3</x:v>
      </x:c>
      <x:c r="C13" s="15"/>
      <x:c r="D13" s="17"/>
      <x:c r="E13" s="15"/>
      <x:c r="F13" s="15"/>
      <x:c r="G13" s="15"/>
      <x:c r="H13" s="17"/>
      <x:c r="I13" s="17"/>
      <x:c r="J13" s="17"/>
      <x:c r="K13" s="15"/>
      <x:c r="L13" s="15"/>
      <x:c r="M13" s="15"/>
    </x:row>
    <x:row r="14"/>
    <x:row r="15" ht="15" hidden="0" customHeight="1">
      <x:c r="A15" s="18" t="str">
        <x:v>小结</x:v>
      </x:c>
    </x:row>
    <x:row r="16" ht="15" hidden="0" customHeight="1">
      <x:c r="A16" s="23" t="str">
        <x:v>总语音条数</x:v>
      </x:c>
      <x:c r="B16" s="24" t="n">
        <x:f>SUM(D5:D13)</x:f>
        <x:v>0</x:v>
      </x:c>
      <x:c r="C16" s="23" t="str">
        <x:v>有发送的天数</x:v>
      </x:c>
      <x:c r="D16" s="23" t="n">
        <x:f>COUNTIF(D5:D13,"&gt;0")</x:f>
        <x:v>0</x:v>
      </x:c>
      <x:c r="E16" s="23" t="str">
        <x:v>平均每条天发送</x:v>
      </x:c>
      <x:c r="F16" s="23" t="n">
        <x:f>IF(COUNT(D5:D13)=0,0,AVERAGE(D5:D13))</x:f>
        <x:v>0</x:v>
      </x:c>
    </x:row>
    <x:row r="17"/>
    <x:row r="18" ht="15" hidden="0" customHeight="1">
      <x:c r="A18" s="23" t="str">
        <x:v>晚上看日结次数</x:v>
      </x:c>
      <x:c r="B18" s="25" t="n">
        <x:f>COUNTIF(L5:L13,"是")</x:f>
        <x:v>0</x:v>
      </x:c>
      <x:c r="C18" s="23" t="str">
        <x:v>至少发过语音的户数</x:v>
      </x:c>
      <x:c r="D18" s="23" t="e">
        <x:f>SUMPRODUCT((D5:D13&gt;0)/COUNTIFS(B5:B13,B5:B13&amp;"",D5:D13,"&gt;0"))</x:f>
        <x:v>#DIV/0!</x:v>
      </x:c>
      <x:c r="E18" s="23" t="str">
        <x:v>估计漏记合计</x:v>
      </x:c>
      <x:c r="F18" s="23" t="n">
        <x:f>SUM(J5:J13)</x:f>
        <x:v>0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8.37999725341797" hidden="0" customWidth="1"/>
    <x:col min="2" max="2" width="30.3799991607666" hidden="0" customWidth="1"/>
    <x:col min="3" max="3" width="28.8799991607666" hidden="0" customWidth="1"/>
  </x:cols>
  <x:sheetData>
    <x:row r="1" ht="16.799999237060547" hidden="0" customHeight="1">
      <x:c r="A1" s="27" t="str">
        <x:v>人肉记账员操作手册（3 天）</x:v>
      </x:c>
      <x:c r="B1" s="27"/>
      <x:c r="C1" s="27"/>
    </x:row>
    <x:row r="2"/>
    <x:row r="3" ht="15" hidden="0" customHeight="1">
      <x:c r="A3" s="29" t="str">
        <x:v>步骤</x:v>
      </x:c>
      <x:c r="B3" s="29" t="str">
        <x:v>具体做什么</x:v>
      </x:c>
      <x:c r="C3" s="29" t="str">
        <x:v>注意</x:v>
      </x:c>
    </x:row>
    <x:row r="4" ht="15" hidden="0" customHeight="1">
      <x:c r="A4" s="15" t="str">
        <x:v>1 收语音</x:v>
      </x:c>
      <x:c r="B4" s="15" t="str">
        <x:v>老板忙时直接给你发微信语音</x:v>
      </x:c>
      <x:c r="C4" s="15" t="str">
        <x:v>不用回复太快，收到就算成功</x:v>
      </x:c>
    </x:row>
    <x:row r="5" ht="15" hidden="0" customHeight="1">
      <x:c r="A5" s="15" t="str">
        <x:v>2 转文字</x:v>
      </x:c>
      <x:c r="B5" s="15" t="str">
        <x:v>长按语音 → 转文字</x:v>
      </x:c>
      <x:c r="C5" s="15" t="str">
        <x:v>识别不准就听一遍修正</x:v>
      </x:c>
    </x:row>
    <x:row r="6" ht="15" hidden="0" customHeight="1">
      <x:c r="A6" s="15" t="str">
        <x:v>3 记账</x:v>
      </x:c>
      <x:c r="B6" s="15" t="str">
        <x:v>复制文字 → 粘贴进小程序 → 确认记账</x:v>
      </x:c>
      <x:c r="C6" s="15" t="str">
        <x:v>10 秒/条，金额由引擎算</x:v>
      </x:c>
    </x:row>
    <x:row r="7" ht="15" hidden="0" customHeight="1">
      <x:c r="A7" s="15" t="str">
        <x:v>4 回执</x:v>
      </x:c>
      <x:c r="B7" s="15" t="str">
        <x:v>回一句“记好了 ✓”</x:v>
      </x:c>
      <x:c r="C7" s="15" t="str">
        <x:v>让他知道你收到了，明天还愿意发</x:v>
      </x:c>
    </x:row>
    <x:row r="8" ht="15" hidden="0" customHeight="1">
      <x:c r="A8" s="15" t="str">
        <x:v>5 日结</x:v>
      </x:c>
      <x:c r="B8" s="15" t="str">
        <x:v>晚上截图“今日一览”发给他</x:v>
      </x:c>
      <x:c r="C8" s="15" t="str">
        <x:v>记下他看没看（这列要填）</x:v>
      </x:c>
    </x:row>
    <x:row r="9" ht="15" hidden="0" customHeight="1">
      <x:c r="A9" s="15" t="str">
        <x:v>6 记录</x:v>
      </x:c>
      <x:c r="B9" s="15" t="str">
        <x:v>当天把本表填完（发几条/漏多少/原话）</x:v>
      </x:c>
      <x:c r="C9" s="15" t="str">
        <x:v>尤其要填“估计漏记”，这是关键结论</x:v>
      </x:c>
    </x:row>
    <x:row r="10"/>
    <x:row r="11" ht="15" hidden="0" customHeight="1">
      <x:c r="A11" s="6" t="str">
        <x:v>判断标准：3 户里 &gt;=2 户主动发过语音、平均每天 &gt;=3 条，就值得花钱认证企业微信做正式链路；否则转“收款流水/音箱”方向。</x:v>
      </x:c>
      <x:c r="B11" s="6"/>
      <x:c r="C11" s="6"/>
    </x:row>
    <x:row r="12"/>
    <x:row r="13" ht="15" hidden="0" customHeight="1">
      <x:c r="A13" s="31" t="str">
        <x:v>合规：本阶段只用个人微信人工处理，禁止接入任何自动化脚本或第三方工具（个人微信自动化会被封号）。</x:v>
      </x:c>
      <x:c r="B13" s="31"/>
      <x:c r="C13" s="31"/>
    </x:row>
  </x:sheetData>
  <x:mergeCells>
    <x:mergeCell ref="A1:C1"/>
    <x:mergeCell ref="A11:C11"/>
    <x:mergeCell ref="A13:C13"/>
  </x:mergeCells>
  <x:pageMargins left="0.7" right="0.7" top="0.75" bottom="0.75" header="0.3" footer="0.3"/>
</x:worksheet>
</file>