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18a5fc310248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试点台账" sheetId="1" r:id="R16abd767ff76411f"/>
    <x:sheet xmlns:r="http://schemas.openxmlformats.org/officeDocument/2006/relationships" name="口径与节点" sheetId="2" r:id="Ra2b83d4e71e841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"/>
  </x:numFmts>
  <x:fonts count="9">
    <x:font>
      <x:sz val="11"/>
      <x:name val="Carlito"/>
    </x:font>
    <x:font>
      <x:b/>
      <x:sz val="16"/>
      <x:color rgb="FFFFFFFF"/>
      <x:name val="Microsoft YaHei"/>
    </x:font>
    <x:font>
      <x:sz val="10"/>
      <x:color rgb="FF6B7671"/>
      <x:name val="Microsoft YaHei"/>
    </x:font>
    <x:font>
      <x:b/>
      <x:sz val="12"/>
      <x:color rgb="FF1F6F43"/>
      <x:name val="Microsoft YaHei"/>
    </x:font>
    <x:font>
      <x:b/>
      <x:sz val="10"/>
      <x:color rgb="FF232B27"/>
      <x:name val="Microsoft YaHei"/>
    </x:font>
    <x:font>
      <x:b/>
      <x:sz val="10"/>
      <x:color rgb="FFFFFFFF"/>
      <x:name val="Microsoft YaHei"/>
    </x:font>
    <x:font>
      <x:sz val="10"/>
      <x:color rgb="FF232B27"/>
      <x:name val="Microsoft YaHei"/>
    </x:font>
    <x:font>
      <x:b/>
      <x:sz val="14"/>
      <x:color rgb="FFFFFFFF"/>
      <x:name val="Microsoft YaHei"/>
    </x:font>
    <x:font>
      <x:b/>
      <x:sz val="11"/>
      <x:color rgb="FF232B27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F6F43"/>
      </x:patternFill>
    </x:fill>
    <x:fill>
      <x:patternFill patternType="solid">
        <x:fgColor rgb="FFEEF7F1"/>
      </x:patternFill>
    </x:fill>
    <x:fill>
      <x:patternFill patternType="solid">
        <x:fgColor rgb="FFF5F7F6"/>
      </x:patternFill>
    </x:fill>
  </x:fills>
  <x:borders count="2">
    <x:border/>
    <x:border>
      <x:left style="thin">
        <x:color rgb="FFD9E2DC"/>
      </x:left>
      <x:right style="thin">
        <x:color rgb="FFD9E2DC"/>
      </x:right>
      <x:top style="thin">
        <x:color rgb="FFD9E2DC"/>
      </x:top>
      <x:bottom style="thin">
        <x:color rgb="FFD9E2DC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200" fontId="4" fillId="4" borderId="0" xfId="0" applyNumberFormat="1" applyFont="1" applyFill="1" applyBorder="1" applyAlignment="1">
      <x:alignment horizontal="center" vertical="center" wrapText="1"/>
    </x:xf>
    <x:xf numFmtId="201" fontId="4" fillId="4" borderId="0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horizontal="center" vertical="center" wrapText="1"/>
    </x:xf>
    <x:xf numFmtId="200" fontId="6" fillId="0" borderId="0" xfId="0" applyNumberFormat="1" applyFont="1" applyFill="1" applyBorder="1" applyAlignment="1">
      <x:alignment vertical="center" wrapText="1"/>
    </x:xf>
    <x:xf numFmtId="201" fontId="6" fillId="0" borderId="0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201" fontId="6" fillId="0" borderId="1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f126d027d94604" /><Relationship Type="http://schemas.openxmlformats.org/officeDocument/2006/relationships/theme" Target="/xl/theme/theme1.xml" Id="Rcbe3eb71f03841c5" /><Relationship Type="http://schemas.openxmlformats.org/officeDocument/2006/relationships/sharedStrings" Target="/xl/sharedStrings.xml" Id="Refe3d8729be94da9" /><Relationship Type="http://schemas.openxmlformats.org/officeDocument/2006/relationships/worksheet" Target="/xl/worksheets/sheet1.xml" Id="R16abd767ff76411f" /><Relationship Type="http://schemas.openxmlformats.org/officeDocument/2006/relationships/worksheet" Target="/xl/worksheets/sheet2.xml" Id="Ra2b83d4e71e841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6.25" hidden="0" customWidth="1"/>
    <x:col min="2" max="2" width="8" hidden="0" customWidth="1"/>
    <x:col min="3" max="3" width="10.130000114440918" hidden="0" customWidth="1"/>
    <x:col min="4" max="4" width="3.880000114440918" hidden="0" customWidth="1"/>
    <x:col min="5" max="5" width="8.75" hidden="0" customWidth="1"/>
    <x:col min="6" max="6" width="3.880000114440918" hidden="0" customWidth="1"/>
    <x:col min="7" max="7" width="10.630000114440918" hidden="0" customWidth="1"/>
    <x:col min="8" max="8" width="8.880000114440918" hidden="0" customWidth="1"/>
    <x:col min="9" max="9" width="10.630000114440918" hidden="0" customWidth="1"/>
    <x:col min="10" max="10" width="6.25" hidden="0" customWidth="1"/>
    <x:col min="11" max="11" width="10.630000114440918" hidden="0" customWidth="1"/>
    <x:col min="12" max="12" width="9.630000114440918" hidden="0" customWidth="1"/>
    <x:col min="13" max="13" width="10.630000114440918" hidden="0" customWidth="1"/>
    <x:col min="14" max="14" width="7.25" hidden="0" customWidth="1"/>
    <x:col min="15" max="15" width="7.25" hidden="0" customWidth="1"/>
    <x:col min="16" max="16" width="17.25" hidden="0" customWidth="1"/>
    <x:col min="17" max="17" width="3.880000114440918" hidden="0" customWidth="1"/>
    <x:col min="18" max="18" width="8.880000114440918" hidden="0" customWidth="1"/>
  </x:cols>
  <x:sheetData>
    <x:row r="1" ht="19.200000762939453" hidden="0" customHeight="1">
      <x:c r="A1" s="4" t="str">
        <x:v>金算盘记账工具 · 10 户试点跟踪表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</x:row>
    <x:row r="2" ht="15" hidden="0" customHeight="1">
      <x:c r="A2" s="6" t="str">
        <x:v>用法：每天更新一次；开通状态填 已开通/未开通；回访与留存填 是/否；D1/D3/D7 为回访节点（试用当天算 D0）。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</x:row>
    <x:row r="3"/>
    <x:row r="4" ht="15" hidden="0" customHeight="1">
      <x:c r="A4" s="7" t="str">
        <x:v>进度小结</x:v>
      </x:c>
    </x:row>
    <x:row r="5" ht="15" hidden="0" customHeight="1">
      <x:c r="A5" s="12" t="str">
        <x:v>已开通户数</x:v>
      </x:c>
      <x:c r="B5" s="15" t="n">
        <x:f>COUNTIF(G8:G17,"已开通")</x:f>
        <x:v>0</x:v>
      </x:c>
      <x:c r="C5" s="12" t="str">
        <x:v>D7 仍在使用</x:v>
      </x:c>
      <x:c r="D5" s="13" t="n">
        <x:f>COUNTIF(L8:L17,"是")</x:f>
        <x:v>0</x:v>
      </x:c>
      <x:c r="E5" s="12" t="str">
        <x:v>7 日留存率</x:v>
      </x:c>
      <x:c r="F5" s="14" t="n">
        <x:f>IF(B5=0,0,D5/B5)</x:f>
        <x:v>0</x:v>
      </x:c>
      <x:c r="G5" s="12" t="str">
        <x:v>累计记账笔数</x:v>
      </x:c>
      <x:c r="H5" s="13" t="n">
        <x:f>SUM(M8:M17)</x:f>
        <x:v>0</x:v>
      </x:c>
      <x:c r="I5" s="12" t="str">
        <x:v>平均每户笔数</x:v>
      </x:c>
      <x:c r="J5" s="13" t="n">
        <x:f>IF(B5=0,0,H5/B5)</x:f>
        <x:v>0</x:v>
      </x:c>
      <x:c r="K5" s="12" t="str">
        <x:v>平均语音占比</x:v>
      </x:c>
      <x:c r="L5" s="14" t="n">
        <x:f>IF(SUM(M8:M17)=0,0,SUM(N8:N17)/SUM(M8:M17))</x:f>
        <x:v>0</x:v>
      </x:c>
    </x:row>
    <x:row r="6" ht="15" hidden="0" customHeight="1">
      <x:c r="A6" s="6" t="str">
        <x:v>回访节点：D1 = 试用后第 1 天 ｜ D3 = 第 3 天 ｜ D7 = 第 7 天。判定：D1 自己记过 &gt;=3 笔；D3 仍在用 = 留存；D7 仍在用 + 愿意推荐 = 优质试点户。</x:v>
      </x:c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  <x:c r="M6" s="6"/>
      <x:c r="N6" s="6"/>
      <x:c r="O6" s="6"/>
      <x:c r="P6" s="6"/>
      <x:c r="Q6" s="6"/>
      <x:c r="R6" s="6"/>
    </x:row>
    <x:row r="7" ht="15" hidden="0" customHeight="1">
      <x:c r="A7" s="19" t="str">
        <x:v>序号</x:v>
      </x:c>
      <x:c r="B7" s="19" t="str">
        <x:v>店名/摊位</x:v>
      </x:c>
      <x:c r="C7" s="19" t="str">
        <x:v>老板称呼</x:v>
      </x:c>
      <x:c r="D7" s="19" t="str">
        <x:v>电话</x:v>
      </x:c>
      <x:c r="E7" s="19" t="str">
        <x:v>市场/位置</x:v>
      </x:c>
      <x:c r="F7" s="19" t="str">
        <x:v>行业</x:v>
      </x:c>
      <x:c r="G7" s="19" t="str">
        <x:v>开通状态</x:v>
      </x:c>
      <x:c r="H7" s="19" t="str">
        <x:v>首次试用日</x:v>
      </x:c>
      <x:c r="I7" s="19" t="str">
        <x:v>D1回访</x:v>
      </x:c>
      <x:c r="J7" s="19" t="str">
        <x:v>D3回访</x:v>
      </x:c>
      <x:c r="K7" s="19" t="str">
        <x:v>D7回访</x:v>
      </x:c>
      <x:c r="L7" s="19" t="str">
        <x:v>D7仍在使用</x:v>
      </x:c>
      <x:c r="M7" s="19" t="str">
        <x:v>累计记账笔数</x:v>
      </x:c>
      <x:c r="N7" s="19" t="str">
        <x:v>语音笔数</x:v>
      </x:c>
      <x:c r="O7" s="19" t="str">
        <x:v>语音占比</x:v>
      </x:c>
      <x:c r="P7" s="19" t="str">
        <x:v>反馈要点（老板原话）</x:v>
      </x:c>
      <x:c r="Q7" s="19" t="str">
        <x:v>意愿</x:v>
      </x:c>
      <x:c r="R7" s="19" t="str">
        <x:v>下一步动作</x:v>
      </x:c>
    </x:row>
    <x:row r="8" ht="15" hidden="0" customHeight="1">
      <x:c r="A8" s="26" t="n">
        <x:v>1</x:v>
      </x:c>
      <x:c r="B8" s="27"/>
      <x:c r="C8" s="27"/>
      <x:c r="D8" s="27"/>
      <x:c r="E8" s="27"/>
      <x:c r="F8" s="27"/>
      <x:c r="G8" s="26"/>
      <x:c r="H8" s="26"/>
      <x:c r="I8" s="26"/>
      <x:c r="J8" s="26"/>
      <x:c r="K8" s="26"/>
      <x:c r="L8" s="26"/>
      <x:c r="M8" s="28"/>
      <x:c r="N8" s="28"/>
      <x:c r="O8" s="29" t="n">
        <x:f>IF(M8=0,0,N8/M8)</x:f>
        <x:v>0</x:v>
      </x:c>
      <x:c r="P8" s="27"/>
      <x:c r="Q8" s="27"/>
      <x:c r="R8" s="27"/>
    </x:row>
    <x:row r="9" ht="15" hidden="0" customHeight="1">
      <x:c r="A9" s="26" t="n">
        <x:v>2</x:v>
      </x:c>
      <x:c r="B9" s="27"/>
      <x:c r="C9" s="27"/>
      <x:c r="D9" s="27"/>
      <x:c r="E9" s="27"/>
      <x:c r="F9" s="27"/>
      <x:c r="G9" s="26"/>
      <x:c r="H9" s="26"/>
      <x:c r="I9" s="26"/>
      <x:c r="J9" s="26"/>
      <x:c r="K9" s="26"/>
      <x:c r="L9" s="26"/>
      <x:c r="M9" s="28"/>
      <x:c r="N9" s="28"/>
      <x:c r="O9" s="29" t="n">
        <x:f>IF(M9=0,0,N9/M9)</x:f>
        <x:v>0</x:v>
      </x:c>
      <x:c r="P9" s="27"/>
      <x:c r="Q9" s="27"/>
      <x:c r="R9" s="27"/>
    </x:row>
    <x:row r="10" ht="15" hidden="0" customHeight="1">
      <x:c r="A10" s="26" t="n">
        <x:v>3</x:v>
      </x:c>
      <x:c r="B10" s="27"/>
      <x:c r="C10" s="27"/>
      <x:c r="D10" s="27"/>
      <x:c r="E10" s="27"/>
      <x:c r="F10" s="27"/>
      <x:c r="G10" s="26"/>
      <x:c r="H10" s="26"/>
      <x:c r="I10" s="26"/>
      <x:c r="J10" s="26"/>
      <x:c r="K10" s="26"/>
      <x:c r="L10" s="26"/>
      <x:c r="M10" s="28"/>
      <x:c r="N10" s="28"/>
      <x:c r="O10" s="29" t="n">
        <x:f>IF(M10=0,0,N10/M10)</x:f>
        <x:v>0</x:v>
      </x:c>
      <x:c r="P10" s="27"/>
      <x:c r="Q10" s="27"/>
      <x:c r="R10" s="27"/>
    </x:row>
    <x:row r="11" ht="15" hidden="0" customHeight="1">
      <x:c r="A11" s="26" t="n">
        <x:v>4</x:v>
      </x:c>
      <x:c r="B11" s="27"/>
      <x:c r="C11" s="27"/>
      <x:c r="D11" s="27"/>
      <x:c r="E11" s="27"/>
      <x:c r="F11" s="27"/>
      <x:c r="G11" s="26"/>
      <x:c r="H11" s="26"/>
      <x:c r="I11" s="26"/>
      <x:c r="J11" s="26"/>
      <x:c r="K11" s="26"/>
      <x:c r="L11" s="26"/>
      <x:c r="M11" s="28"/>
      <x:c r="N11" s="28"/>
      <x:c r="O11" s="29" t="n">
        <x:f>IF(M11=0,0,N11/M11)</x:f>
        <x:v>0</x:v>
      </x:c>
      <x:c r="P11" s="27"/>
      <x:c r="Q11" s="27"/>
      <x:c r="R11" s="27"/>
    </x:row>
    <x:row r="12" ht="15" hidden="0" customHeight="1">
      <x:c r="A12" s="26" t="n">
        <x:v>5</x:v>
      </x:c>
      <x:c r="B12" s="27"/>
      <x:c r="C12" s="27"/>
      <x:c r="D12" s="27"/>
      <x:c r="E12" s="27"/>
      <x:c r="F12" s="27"/>
      <x:c r="G12" s="26"/>
      <x:c r="H12" s="26"/>
      <x:c r="I12" s="26"/>
      <x:c r="J12" s="26"/>
      <x:c r="K12" s="26"/>
      <x:c r="L12" s="26"/>
      <x:c r="M12" s="28"/>
      <x:c r="N12" s="28"/>
      <x:c r="O12" s="29" t="n">
        <x:f>IF(M12=0,0,N12/M12)</x:f>
        <x:v>0</x:v>
      </x:c>
      <x:c r="P12" s="27"/>
      <x:c r="Q12" s="27"/>
      <x:c r="R12" s="27"/>
    </x:row>
    <x:row r="13" ht="15" hidden="0" customHeight="1">
      <x:c r="A13" s="26" t="n">
        <x:v>6</x:v>
      </x:c>
      <x:c r="B13" s="27"/>
      <x:c r="C13" s="27"/>
      <x:c r="D13" s="27"/>
      <x:c r="E13" s="27"/>
      <x:c r="F13" s="27"/>
      <x:c r="G13" s="26"/>
      <x:c r="H13" s="26"/>
      <x:c r="I13" s="26"/>
      <x:c r="J13" s="26"/>
      <x:c r="K13" s="26"/>
      <x:c r="L13" s="26"/>
      <x:c r="M13" s="28"/>
      <x:c r="N13" s="28"/>
      <x:c r="O13" s="29" t="n">
        <x:f>IF(M13=0,0,N13/M13)</x:f>
        <x:v>0</x:v>
      </x:c>
      <x:c r="P13" s="27"/>
      <x:c r="Q13" s="27"/>
      <x:c r="R13" s="27"/>
    </x:row>
    <x:row r="14" ht="15" hidden="0" customHeight="1">
      <x:c r="A14" s="26" t="n">
        <x:v>7</x:v>
      </x:c>
      <x:c r="B14" s="27"/>
      <x:c r="C14" s="27"/>
      <x:c r="D14" s="27"/>
      <x:c r="E14" s="27"/>
      <x:c r="F14" s="27"/>
      <x:c r="G14" s="26"/>
      <x:c r="H14" s="26"/>
      <x:c r="I14" s="26"/>
      <x:c r="J14" s="26"/>
      <x:c r="K14" s="26"/>
      <x:c r="L14" s="26"/>
      <x:c r="M14" s="28"/>
      <x:c r="N14" s="28"/>
      <x:c r="O14" s="29" t="n">
        <x:f>IF(M14=0,0,N14/M14)</x:f>
        <x:v>0</x:v>
      </x:c>
      <x:c r="P14" s="27"/>
      <x:c r="Q14" s="27"/>
      <x:c r="R14" s="27"/>
    </x:row>
    <x:row r="15" ht="15" hidden="0" customHeight="1">
      <x:c r="A15" s="26" t="n">
        <x:v>8</x:v>
      </x:c>
      <x:c r="B15" s="27"/>
      <x:c r="C15" s="27"/>
      <x:c r="D15" s="27"/>
      <x:c r="E15" s="27"/>
      <x:c r="F15" s="27"/>
      <x:c r="G15" s="26"/>
      <x:c r="H15" s="26"/>
      <x:c r="I15" s="26"/>
      <x:c r="J15" s="26"/>
      <x:c r="K15" s="26"/>
      <x:c r="L15" s="26"/>
      <x:c r="M15" s="28"/>
      <x:c r="N15" s="28"/>
      <x:c r="O15" s="29" t="n">
        <x:f>IF(M15=0,0,N15/M15)</x:f>
        <x:v>0</x:v>
      </x:c>
      <x:c r="P15" s="27"/>
      <x:c r="Q15" s="27"/>
      <x:c r="R15" s="27"/>
    </x:row>
    <x:row r="16" ht="15" hidden="0" customHeight="1">
      <x:c r="A16" s="26" t="n">
        <x:v>9</x:v>
      </x:c>
      <x:c r="B16" s="27"/>
      <x:c r="C16" s="27"/>
      <x:c r="D16" s="27"/>
      <x:c r="E16" s="27"/>
      <x:c r="F16" s="27"/>
      <x:c r="G16" s="26"/>
      <x:c r="H16" s="26"/>
      <x:c r="I16" s="26"/>
      <x:c r="J16" s="26"/>
      <x:c r="K16" s="26"/>
      <x:c r="L16" s="26"/>
      <x:c r="M16" s="28"/>
      <x:c r="N16" s="28"/>
      <x:c r="O16" s="29" t="n">
        <x:f>IF(M16=0,0,N16/M16)</x:f>
        <x:v>0</x:v>
      </x:c>
      <x:c r="P16" s="27"/>
      <x:c r="Q16" s="27"/>
      <x:c r="R16" s="27"/>
    </x:row>
    <x:row r="17" ht="15" hidden="0" customHeight="1">
      <x:c r="A17" s="26" t="n">
        <x:v>10</x:v>
      </x:c>
      <x:c r="B17" s="27"/>
      <x:c r="C17" s="27"/>
      <x:c r="D17" s="27"/>
      <x:c r="E17" s="27"/>
      <x:c r="F17" s="27"/>
      <x:c r="G17" s="26"/>
      <x:c r="H17" s="26"/>
      <x:c r="I17" s="26"/>
      <x:c r="J17" s="26"/>
      <x:c r="K17" s="26"/>
      <x:c r="L17" s="26"/>
      <x:c r="M17" s="28"/>
      <x:c r="N17" s="28"/>
      <x:c r="O17" s="29" t="n">
        <x:f>IF(M17=0,0,N17/M17)</x:f>
        <x:v>0</x:v>
      </x:c>
      <x:c r="P17" s="27"/>
      <x:c r="Q17" s="27"/>
      <x:c r="R17" s="27"/>
    </x:row>
    <x:row r="18"/>
    <x:row r="19" ht="15" hidden="0" customHeight="1">
      <x:c r="A19" s="31" t="str">
        <x:v>反馈要点：记老板的原话，不要改写成我们的说法。意愿：高 = 愿意付小钱；中 = 愿意继续用但不想付费；低 = 不想再用。</x:v>
      </x:c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  <x:c r="O19" s="31"/>
      <x:c r="P19" s="31"/>
      <x:c r="Q19" s="31"/>
      <x:c r="R19" s="31"/>
    </x:row>
  </x:sheetData>
  <x:mergeCells>
    <x:mergeCell ref="A1:R1"/>
    <x:mergeCell ref="A2:R2"/>
    <x:mergeCell ref="A6:R6"/>
    <x:mergeCell ref="A19:R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4.37999725341797" hidden="0" customWidth="1"/>
    <x:col min="2" max="2" width="14.5" hidden="0" customWidth="1"/>
    <x:col min="3" max="3" width="25" hidden="0" customWidth="1"/>
  </x:cols>
  <x:sheetData>
    <x:row r="1" ht="16.799999237060547" hidden="0" customHeight="1">
      <x:c r="A1" s="33" t="str">
        <x:v>口径与节点（速查）</x:v>
      </x:c>
      <x:c r="B1" s="33"/>
      <x:c r="C1" s="33"/>
    </x:row>
    <x:row r="2"/>
    <x:row r="3" ht="15" hidden="0" customHeight="1">
      <x:c r="A3" s="35" t="str">
        <x:v>项目</x:v>
      </x:c>
      <x:c r="B3" s="35" t="str">
        <x:v>定义</x:v>
      </x:c>
      <x:c r="C3" s="35" t="str">
        <x:v>判定/目标</x:v>
      </x:c>
    </x:row>
    <x:row r="4" ht="15" hidden="0" customHeight="1">
      <x:c r="A4" s="27" t="str">
        <x:v>D1 回访</x:v>
      </x:c>
      <x:c r="B4" s="27" t="str">
        <x:v>试用后第 1 天</x:v>
      </x:c>
      <x:c r="C4" s="27" t="str">
        <x:v>自己记过 &gt;= 3 笔</x:v>
      </x:c>
    </x:row>
    <x:row r="5" ht="15" hidden="0" customHeight="1">
      <x:c r="A5" s="27" t="str">
        <x:v>D3 回访</x:v>
      </x:c>
      <x:c r="B5" s="27" t="str">
        <x:v>试用后第 3 天</x:v>
      </x:c>
      <x:c r="C5" s="27" t="str">
        <x:v>打开且记过账 = 留存</x:v>
      </x:c>
    </x:row>
    <x:row r="6" ht="15" hidden="0" customHeight="1">
      <x:c r="A6" s="27" t="str">
        <x:v>D7 回访</x:v>
      </x:c>
      <x:c r="B6" s="27" t="str">
        <x:v>试用后第 7 天</x:v>
      </x:c>
      <x:c r="C6" s="27" t="str">
        <x:v>仍在用 + 愿意推荐 = 优质试点户</x:v>
      </x:c>
    </x:row>
    <x:row r="7" ht="15" hidden="0" customHeight="1">
      <x:c r="A7" s="27" t="str">
        <x:v>语音占比</x:v>
      </x:c>
      <x:c r="B7" s="27" t="str">
        <x:v>语音笔数 ÷ 总笔数</x:v>
      </x:c>
      <x:c r="C7" s="27" t="str">
        <x:v>目标 &gt;= 60%</x:v>
      </x:c>
    </x:row>
    <x:row r="8" ht="15" hidden="0" customHeight="1">
      <x:c r="A8" s="27" t="str">
        <x:v>累计记账笔数</x:v>
      </x:c>
      <x:c r="B8" s="27" t="str">
        <x:v>所有类型笔数之和</x:v>
      </x:c>
      <x:c r="C8" s="27" t="str">
        <x:v>7 天 &gt;= 20 笔为活跃</x:v>
      </x:c>
    </x:row>
    <x:row r="9" ht="15" hidden="0" customHeight="1">
      <x:c r="A9" s="27" t="str">
        <x:v>反馈要点</x:v>
      </x:c>
      <x:c r="B9" s="27" t="str">
        <x:v>老板的原话</x:v>
      </x:c>
      <x:c r="C9" s="27" t="str">
        <x:v>不要改写成我们的说法</x:v>
      </x:c>
    </x:row>
    <x:row r="10"/>
    <x:row r="11" ht="15" hidden="0" customHeight="1">
      <x:c r="A11" s="30" t="str">
        <x:v>价格测试：问「一年收 30 元 / 99 元，您觉得怎么样？」只记录第一反应，不要推销。</x:v>
      </x:c>
      <x:c r="B11" s="30"/>
      <x:c r="C11" s="30"/>
    </x:row>
  </x:sheetData>
  <x:mergeCells>
    <x:mergeCell ref="A1:C1"/>
    <x:mergeCell ref="A11:C11"/>
  </x:mergeCells>
  <x:pageMargins left="0.7" right="0.7" top="0.75" bottom="0.75" header="0.3" footer="0.3"/>
</x:worksheet>
</file>